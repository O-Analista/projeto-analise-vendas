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pivotCache/pivotCacheDefinition9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29B014C0-39B6-4A4F-BC93-21A5E3877A52}" xr6:coauthVersionLast="47" xr6:coauthVersionMax="47" xr10:uidLastSave="{00000000-0000-0000-0000-000000000000}"/>
  <workbookProtection workbookAlgorithmName="SHA-512" workbookHashValue="12fVRKJs7KJBk8nM1kAdyo0BylhS4GXeat3DhtE1EZYIDn+o3Cvx12M6QhvPMVF+yMG6/SqUaa9XRTkVCB+9wg==" workbookSaltValue="ZxgWW/3RDLfINJina/Md1g==" workbookSpinCount="100000" lockStructure="1"/>
  <bookViews>
    <workbookView showSheetTabs="0" xWindow="-120" yWindow="-120" windowWidth="20730" windowHeight="11160" tabRatio="329" firstSheet="1" activeTab="1" xr2:uid="{F3A9989C-1370-45B9-BB06-45D1BF7D3906}"/>
  </bookViews>
  <sheets>
    <sheet name="Planilha1" sheetId="1" state="hidden" r:id="rId1"/>
    <sheet name="DASHBOARD" sheetId="3" r:id="rId2"/>
  </sheets>
  <definedNames>
    <definedName name="SegmentaçãodeDados_Nome_da_categoria">#N/A</definedName>
    <definedName name="Timeline_Data_da_venda">#N/A</definedName>
    <definedName name="Total_desc">Planilha1!$P$4</definedName>
    <definedName name="Total_desconto">Planilha1!$P$4</definedName>
    <definedName name="Total_liq">Planilha1!$R$4</definedName>
    <definedName name="Total_líquido">Planilha1!$R$4</definedName>
    <definedName name="Total_Vendas">Planilha1!$N$4</definedName>
    <definedName name="Total_vendido">Planilha1!$N$4</definedName>
  </definedNames>
  <calcPr calcId="191029"/>
  <pivotCaches>
    <pivotCache cacheId="578" r:id="rId3"/>
    <pivotCache cacheId="581" r:id="rId4"/>
    <pivotCache cacheId="584" r:id="rId5"/>
    <pivotCache cacheId="587" r:id="rId6"/>
    <pivotCache cacheId="590" r:id="rId7"/>
    <pivotCache cacheId="593" r:id="rId8"/>
    <pivotCache cacheId="596" r:id="rId9"/>
  </pivotCaches>
  <extLst>
    <ext xmlns:x14="http://schemas.microsoft.com/office/spreadsheetml/2009/9/main" uri="{876F7934-8845-4945-9796-88D515C7AA90}">
      <x14:pivotCaches>
        <pivotCache cacheId="7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" r:id="rId12"/>
      </x15:timelineCachePivotCaches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liais_998ef0fb-72cc-41b6-812c-a62bcfb8f6ea" name="Filiais" connection="Consulta - Filiais"/>
          <x15:modelTable id="Categorias_e6b09160-6fbe-4fb3-8167-51eb9b0b9d12" name="Categorias" connection="Consulta - Categorias"/>
          <x15:modelTable id="Ítens vendidos_e4205c20-47c2-4854-a89c-3e3812650dff" name="Ítens vendidos" connection="Consulta - Ítens vendidos"/>
          <x15:modelTable id="Produtos_380af1d6-bd5b-4833-b869-20826e3a779e" name="Produtos" connection="Consulta - Produtos"/>
          <x15:modelTable id="Vendas_765f606d-6340-44ca-9841-59c6e9769bd3" name="Vendas" connection="Consulta - Vendas"/>
          <x15:modelTable id="Vendedores_835290be-ce78-4e1f-a120-d89b91c75c26" name="Vendedores" connection="Consulta - Vendedores"/>
        </x15:modelTables>
        <x15:modelRelationships>
          <x15:modelRelationship fromTable="Ítens vendidos" fromColumn="Venda" toTable="Vendas" toColumn="Código da venda"/>
          <x15:modelRelationship fromTable="Ítens vendidos" fromColumn="Produto" toTable="Produtos" toColumn="Código do produto"/>
          <x15:modelRelationship fromTable="Produtos" fromColumn="Categoria" toTable="Categorias" toColumn="Código da categoria"/>
          <x15:modelRelationship fromTable="Vendas" fromColumn="Vendedor" toTable="Vendedores" toColumn="Código do vendedor"/>
          <x15:modelRelationship fromTable="Vendedores" fromColumn="Filial" toTable="Filiais" toColumn="Código da filial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Vendas" columnName="Data da venda" columnId="Data da venda">
                <x16:calculatedTimeColumn columnName="Data da venda (Índice de Mês)" columnId="Data da venda (Índice de Mês)" contentType="monthsindex" isSelected="1"/>
                <x16:calculatedTimeColumn columnName="Data da venda (Mês)" columnId="Data da vend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2BA16-1981-4F5D-BD02-AE872E6E8FE2}" name="Consulta - Categorias" description="Conexão com a consulta 'Categorias' na pasta de trabalho." type="100" refreshedVersion="7" minRefreshableVersion="5">
    <extLst>
      <ext xmlns:x15="http://schemas.microsoft.com/office/spreadsheetml/2010/11/main" uri="{DE250136-89BD-433C-8126-D09CA5730AF9}">
        <x15:connection id="1b99bc1f-baa0-435f-bc0e-e9784b284ffc"/>
      </ext>
    </extLst>
  </connection>
  <connection id="2" xr16:uid="{ED199113-3BC8-4466-A03E-1996E8206369}" name="Consulta - Filiais" description="Conexão com a consulta 'Filiais' na pasta de trabalho." type="100" refreshedVersion="7" minRefreshableVersion="5">
    <extLst>
      <ext xmlns:x15="http://schemas.microsoft.com/office/spreadsheetml/2010/11/main" uri="{DE250136-89BD-433C-8126-D09CA5730AF9}">
        <x15:connection id="3b2a1ca1-74c1-4738-8df3-6059170f27e1"/>
      </ext>
    </extLst>
  </connection>
  <connection id="3" xr16:uid="{E2D99B26-CB30-41BB-B0D9-9C0893CF1E30}" name="Consulta - Ítens vendidos" description="Conexão com a consulta 'Ítens vendidos' na pasta de trabalho." type="100" refreshedVersion="7" minRefreshableVersion="5">
    <extLst>
      <ext xmlns:x15="http://schemas.microsoft.com/office/spreadsheetml/2010/11/main" uri="{DE250136-89BD-433C-8126-D09CA5730AF9}">
        <x15:connection id="0c63cd61-25c3-4347-b03d-2970e80b2622"/>
      </ext>
    </extLst>
  </connection>
  <connection id="4" xr16:uid="{A0E5574B-8A29-4575-B50A-C6B4232D2B5A}" name="Consulta - Produtos" description="Conexão com a consulta 'Produtos' na pasta de trabalho." type="100" refreshedVersion="7" minRefreshableVersion="5">
    <extLst>
      <ext xmlns:x15="http://schemas.microsoft.com/office/spreadsheetml/2010/11/main" uri="{DE250136-89BD-433C-8126-D09CA5730AF9}">
        <x15:connection id="c94c3bd7-547a-45be-80ff-d57c3d19879b"/>
      </ext>
    </extLst>
  </connection>
  <connection id="5" xr16:uid="{2EC22287-BEAC-41DA-B374-D0434A91A06D}" name="Consulta - Vendas" description="Conexão com a consulta 'Vendas' na pasta de trabalho." type="100" refreshedVersion="7" minRefreshableVersion="5">
    <extLst>
      <ext xmlns:x15="http://schemas.microsoft.com/office/spreadsheetml/2010/11/main" uri="{DE250136-89BD-433C-8126-D09CA5730AF9}">
        <x15:connection id="c7ce06e7-2a15-4972-8538-b230d3c9f8be"/>
      </ext>
    </extLst>
  </connection>
  <connection id="6" xr16:uid="{6A83D2F7-C3C9-41B6-83EA-D7222807E615}" name="Consulta - Vendedores" description="Conexão com a consulta 'Vendedores' na pasta de trabalho." type="100" refreshedVersion="7" minRefreshableVersion="5">
    <extLst>
      <ext xmlns:x15="http://schemas.microsoft.com/office/spreadsheetml/2010/11/main" uri="{DE250136-89BD-433C-8126-D09CA5730AF9}">
        <x15:connection id="3c86ad2c-7a92-465c-aac5-53cde2c10ffb"/>
      </ext>
    </extLst>
  </connection>
  <connection id="7" xr16:uid="{170734B9-9777-4A11-88F3-6991EB329E7F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<sst xmlns="http://schemas.openxmlformats.org/spreadsheetml/2006/main" count="31" uniqueCount="21">
  <si>
    <t>Total vendido</t>
  </si>
  <si>
    <t>Rótulos de Linha</t>
  </si>
  <si>
    <t>Almira Buarque</t>
  </si>
  <si>
    <t>Antônio da Costa</t>
  </si>
  <si>
    <t>Augusto Carlos</t>
  </si>
  <si>
    <t>Débora Albuquerque</t>
  </si>
  <si>
    <t>Fernanda Vasconcelos</t>
  </si>
  <si>
    <t>Filipe de Tarso</t>
  </si>
  <si>
    <t>Jaqueline de Souza</t>
  </si>
  <si>
    <t>Raimundo Nonato</t>
  </si>
  <si>
    <t>Rubens Lopes</t>
  </si>
  <si>
    <t>Solange Almeida</t>
  </si>
  <si>
    <t>Total Geral</t>
  </si>
  <si>
    <t>Minas Gerais</t>
  </si>
  <si>
    <t>Rio de Janeiro</t>
  </si>
  <si>
    <t>São Paulo</t>
  </si>
  <si>
    <t>Acessórios</t>
  </si>
  <si>
    <t>Total desconto</t>
  </si>
  <si>
    <t>Total líquido</t>
  </si>
  <si>
    <t>T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</si>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</sst>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rgb="FF050416"/>
        </stop>
        <stop position="1">
          <color rgb="FF0E266D"/>
        </stop>
      </gradientFill>
    </fill>
    <fill>
      <gradientFill degree="90">
        <stop position="0">
          <color rgb="FF050416"/>
        </stop>
        <stop position="0.5">
          <color rgb="FF0E266D"/>
        </stop>
        <stop position="1">
          <color rgb="FF050416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6">
    <dxf>
      <font>
        <b val="0"/>
        <i val="0"/>
        <sz val="14"/>
        <color theme="0"/>
        <name val="Average Sans"/>
      </font>
      <fill>
        <patternFill>
          <bgColor rgb="FF06072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sz val="16"/>
        <color rgb="FF242485"/>
        <name val="Average Sans"/>
      </font>
      <fill>
        <patternFill>
          <bgColor rgb="FF121360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sz val="16"/>
        <name val="Average Sans"/>
      </font>
      <fill>
        <patternFill patternType="solid">
          <fgColor theme="0"/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</dxf>
    <dxf>
      <font>
        <sz val="16"/>
        <color rgb="FF242485"/>
        <name val="Average Sans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5" defaultTableStyle="TableStyleMedium2" defaultPivotStyle="PivotStyleLight16">
    <tableStyle name="Estilo de Linha do Tempo 1" pivot="0" table="0" count="8" xr9:uid="{9AD16185-F6CD-4F75-B573-65E127808C63}">
      <tableStyleElement type="wholeTable" dxfId="5"/>
      <tableStyleElement type="headerRow" dxfId="4"/>
    </tableStyle>
    <tableStyle name="Estilo de Linha do Tempo 2" pivot="0" table="0" count="8" xr9:uid="{8F703C57-30D5-43B7-94B5-40D07BD448F0}">
      <tableStyleElement type="wholeTable" dxfId="3"/>
      <tableStyleElement type="headerRow" dxfId="2"/>
    </tableStyle>
    <tableStyle name="Estilo de Segmentação de Dados 1" pivot="0" table="0" count="8" xr9:uid="{15036A61-8B6D-4DC6-BF2C-A2DCD4DDC5E8}">
      <tableStyleElement type="wholeTable" dxfId="1"/>
    </tableStyle>
    <tableStyle name="Invisible" pivot="0" table="0" count="0" xr9:uid="{1B89B7B8-A90D-44D0-9326-E5E78012CE23}"/>
    <tableStyle name="NOVO ESTILO" pivot="0" table="0" count="5" xr9:uid="{B19B75D9-F6EB-4AB5-91A3-9C2D21709077}">
      <tableStyleElement type="wholeTable" dxfId="0"/>
    </tableStyle>
  </tableStyles>
  <colors>
    <mruColors>
      <color rgb="FF199497"/>
      <color rgb="FF060720"/>
      <color rgb="FF65B6FF"/>
      <color rgb="FF121360"/>
      <color rgb="FF0F0840"/>
      <color rgb="FF0A0832"/>
      <color rgb="FF050416"/>
      <color rgb="FF222483"/>
      <color rgb="FF0E0B45"/>
      <color rgb="FF0E266D"/>
    </mruColors>
  </colors>
  <extLst>
    <ext xmlns:x14="http://schemas.microsoft.com/office/spreadsheetml/2009/9/main" uri="{46F421CA-312F-682f-3DD2-61675219B42D}">
      <x14:dxfs count="11">
        <dxf>
          <font>
            <b val="0"/>
            <i val="0"/>
            <sz val="14"/>
            <color theme="0"/>
            <name val="Average Sans"/>
          </font>
          <fill>
            <patternFill>
              <bgColor rgb="FF0F084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4"/>
            <color theme="0"/>
            <name val="Average Sans"/>
          </font>
          <fill>
            <patternFill>
              <bgColor rgb="FF0F084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4"/>
            <color rgb="FF0F0840"/>
            <name val="Average Sans"/>
          </font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4"/>
            <color theme="0"/>
            <name val="Average Sans"/>
          </font>
          <fill>
            <patternFill>
              <bgColor rgb="FF0F084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name val="Average Sans"/>
          </font>
        </dxf>
        <dxf>
          <font>
            <sz val="14"/>
            <color theme="0"/>
            <name val="Average Sans"/>
          </font>
          <fill>
            <patternFill>
              <bgColor rgb="FF0F084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4"/>
            <color theme="0"/>
            <name val="Average Sans"/>
          </font>
          <fill>
            <patternFill>
              <bgColor rgb="FF0F0840"/>
            </patternFill>
          </fill>
        </dxf>
        <dxf>
          <font>
            <name val="Average Sans"/>
          </font>
        </dxf>
        <dxf>
          <font>
            <b val="0"/>
            <i val="0"/>
            <strike val="0"/>
            <sz val="14"/>
            <color rgb="FF0F0840"/>
            <name val="Average Sans"/>
          </font>
          <fill>
            <patternFill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name val="Average Sans"/>
          </font>
        </dxf>
        <dxf>
          <font>
            <b val="0"/>
            <i val="0"/>
            <sz val="14"/>
            <color theme="0"/>
            <name val="Average Sans"/>
          </font>
          <fill>
            <patternFill>
              <bgColor rgb="FF0F084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10"/>
            <x14:slicerStyleElement type="unselectedItemWithNoData" dxfId="9"/>
            <x14:slicerStyleElement type="selectedItemWithData" dxfId="8"/>
            <x14:slicerStyleElement type="selectedItemWithNoData" dxfId="7"/>
            <x14:slicerStyleElement type="hoveredUnselectedItemWithData" dxfId="6"/>
            <x14:slicerStyleElement type="hoveredSelectedItemWithData" dxfId="5"/>
            <x14:slicerStyleElement type="hoveredSelectedItemWithNoData" dxfId="4"/>
          </x14:slicerStyleElements>
        </x14:slicerStyle>
        <x14:slicerStyle name="NOVO ESTILO">
          <x14:slicerStyleElements>
            <x14:slicerStyleElement type="unselectedItemWithData" dxfId="3"/>
            <x14:slicerStyleElement type="selectedItemWith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12">
        <dxf>
          <fill>
            <patternFill patternType="solid">
              <fgColor theme="0" tint="-0.14999847407452621"/>
              <bgColor theme="0" tint="-0.1499984740745262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theme="0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9"/>
            <color theme="1" tint="0.499984740745262"/>
          </font>
        </dxf>
        <dxf>
          <font>
            <sz val="10"/>
            <color theme="1" tint="0.499984740745262"/>
          </font>
        </dxf>
        <dxf>
          <fill>
            <patternFill patternType="solid">
              <fgColor theme="0" tint="-0.14990691854609822"/>
              <bgColor rgb="FF0F0840"/>
            </patternFill>
          </fill>
        </dxf>
        <dxf>
          <fill>
            <patternFill patternType="solid">
              <fgColor theme="0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0"/>
            <name val="Average Sans"/>
            <scheme val="none"/>
          </font>
        </dxf>
        <dxf>
          <font>
            <sz val="14"/>
            <color theme="0"/>
            <name val="Average Sans"/>
            <scheme val="none"/>
          </font>
        </dxf>
        <dxf>
          <font>
            <sz val="9"/>
            <color theme="0"/>
            <name val="Calibri"/>
            <family val="2"/>
            <scheme val="minor"/>
          </font>
        </dxf>
        <dxf>
          <font>
            <sz val="10"/>
            <color theme="1" tint="0.499984740745262"/>
          </font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Estilo de Linha do Tempo 1">
          <x15:timelineStyleElements>
            <x15:timelineStyleElement type="selectionLabel" dxfId="11"/>
            <x15:timelineStyleElement type="timeLevel" dxfId="10"/>
            <x15:timelineStyleElement type="periodLabel1" dxfId="9"/>
            <x15:timelineStyleElement type="periodLabel2" dxfId="8"/>
            <x15:timelineStyleElement type="selectedTimeBlock" dxfId="7"/>
            <x15:timelineStyleElement type="unselectedTimeBlock" dxfId="6"/>
          </x15:timelineStyleElements>
        </x15:timelineStyle>
        <x15:timelineStyle name="Estilo de Linha do Tempo 2">
          <x15:timelineStyleElements>
            <x15:timelineStyleElement type="selectionLabel" dxfId="5"/>
            <x15:timelineStyleElement type="timeLevel" dxfId="4"/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pivotCacheDefinition" Target="pivotCache/pivotCacheDefinition3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8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9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[Dash_Pronto.xlsx]Planilha1!Tabela dinâmica1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dLbl>
          <c:idx val="0"/>
          <c:layout>
            <c:manualLayout>
              <c:x val="0"/>
              <c:y val="2.892263854627075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987624289174998"/>
          <c:y val="3.1406145532976E-2"/>
          <c:w val="0.6474625857336076"/>
          <c:h val="0.937187708934048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Planilha1!$C$3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  <a:alpha val="40000"/>
              </a:schemeClr>
            </a:solidFill>
            <a:ln w="19050" cap="flat">
              <a:solidFill>
                <a:srgbClr val="199497">
                  <a:alpha val="97000"/>
                </a:srgbClr>
              </a:solidFill>
              <a:prstDash val="solid"/>
            </a:ln>
            <a:effectLst/>
          </c:spPr>
          <c:invertIfNegative val="0"/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BC42-4F4C-BE66-8697D3BEBD91}"/>
              </c:ext>
            </c:extLst>
          </c:dPt>
          <c:dLbls>
            <c:dLbl>
              <c:idx val="9"/>
              <c:layout>
                <c:manualLayout>
                  <c:x val="0"/>
                  <c:y val="2.89226385462707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42-4F4C-BE66-8697D3BEBD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Planilha1!$B$4:$B$14</c:f>
              <c:strCache>
                <c:ptCount val="10"/>
                <c:pt idx="0">
                  <c:v>Jaqueline de Souza</c:v>
                </c:pt>
                <c:pt idx="1">
                  <c:v>Solange Almeida</c:v>
                </c:pt>
                <c:pt idx="2">
                  <c:v>Rubens Lopes</c:v>
                </c:pt>
                <c:pt idx="3">
                  <c:v>Filipe de Tarso</c:v>
                </c:pt>
                <c:pt idx="4">
                  <c:v>Fernanda Vasconcelos</c:v>
                </c:pt>
                <c:pt idx="5">
                  <c:v>Antônio da Costa</c:v>
                </c:pt>
                <c:pt idx="6">
                  <c:v>Augusto Carlos</c:v>
                </c:pt>
                <c:pt idx="7">
                  <c:v>Raimundo Nonato</c:v>
                </c:pt>
                <c:pt idx="8">
                  <c:v>Débora Albuquerque</c:v>
                </c:pt>
                <c:pt idx="9">
                  <c:v>Almira Buarque</c:v>
                </c:pt>
              </c:strCache>
            </c:strRef>
          </c:cat>
          <c:val>
            <c:numRef>
              <c:f>Planilha1!$C$4:$C$14</c:f>
              <c:numCache>
                <c:formatCode>"R$"#,##0.00_);\("R$"#,##0.00\)</c:formatCode>
                <c:ptCount val="10"/>
                <c:pt idx="0">
                  <c:v>8865</c:v>
                </c:pt>
                <c:pt idx="1">
                  <c:v>11145</c:v>
                </c:pt>
                <c:pt idx="2">
                  <c:v>19455</c:v>
                </c:pt>
                <c:pt idx="3">
                  <c:v>22410</c:v>
                </c:pt>
                <c:pt idx="4">
                  <c:v>24600</c:v>
                </c:pt>
                <c:pt idx="5">
                  <c:v>27555</c:v>
                </c:pt>
                <c:pt idx="6">
                  <c:v>28290</c:v>
                </c:pt>
                <c:pt idx="7">
                  <c:v>29445</c:v>
                </c:pt>
                <c:pt idx="8">
                  <c:v>30240</c:v>
                </c:pt>
                <c:pt idx="9">
                  <c:v>34305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42-4F4C-BE66-8697D3BEB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051951"/>
        <c:axId val="18054351"/>
      </c:barChart>
      <c:catAx>
        <c:axId val="180519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54351"/>
        <c:crosses val="autoZero"/>
        <c:auto val="1"/>
        <c:lblAlgn val="ctr"/>
        <c:lblOffset val="100"/>
        <c:noMultiLvlLbl val="0"/>
      </c:catAx>
      <c:valAx>
        <c:axId val="18054351"/>
        <c:scaling>
          <c:orientation val="minMax"/>
        </c:scaling>
        <c:delete val="1"/>
        <c:axPos val="b"/>
        <c:majorGridlines>
          <c:spPr>
            <a:ln w="12700" cap="rnd" cmpd="sng" algn="ctr">
              <a:solidFill>
                <a:schemeClr val="accent1">
                  <a:alpha val="40000"/>
                </a:schemeClr>
              </a:solidFill>
              <a:round/>
              <a:headEnd type="stealth" w="lg" len="sm"/>
              <a:tailEnd type="none"/>
            </a:ln>
            <a:effectLst>
              <a:softEdge rad="0"/>
            </a:effectLst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18051951"/>
        <c:crosses val="autoZero"/>
        <c:crossBetween val="between"/>
      </c:valAx>
      <c:spPr>
        <a:noFill/>
        <a:ln>
          <a:noFill/>
        </a:ln>
        <a:effectLst>
          <a:outerShdw blurRad="50800" dist="63500" dir="5400000" algn="ctr" rotWithShape="0">
            <a:srgbClr val="000000">
              <a:alpha val="82000"/>
            </a:srgbClr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[Dash_Pronto.xlsx]Planilha1!Tabela dinâmica2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dLbl>
          <c:idx val="0"/>
          <c:layout>
            <c:manualLayout>
              <c:x val="0"/>
              <c:y val="2.892263854627075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dLbl>
          <c:idx val="0"/>
          <c:layout>
            <c:manualLayout>
              <c:x val="0"/>
              <c:y val="2.892263854627075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"/>
              <c:y val="2.892263854627075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50000"/>
              <a:alpha val="40000"/>
            </a:schemeClr>
          </a:solidFill>
          <a:ln w="19050" cap="flat">
            <a:solidFill>
              <a:srgbClr val="199497">
                <a:alpha val="97000"/>
              </a:srgbClr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4816694867456288E-2"/>
          <c:y val="3.216373528486087E-2"/>
          <c:w val="0.9503666102650874"/>
          <c:h val="0.883722916672902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Planilha1!$F$3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50000"/>
                <a:alpha val="40000"/>
              </a:schemeClr>
            </a:solidFill>
            <a:ln w="19050" cap="flat">
              <a:solidFill>
                <a:srgbClr val="199497">
                  <a:alpha val="97000"/>
                </a:srgbClr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Planilha1!$E$4:$E$7</c:f>
              <c:strCache>
                <c:ptCount val="3"/>
                <c:pt idx="0">
                  <c:v>São Paulo</c:v>
                </c:pt>
                <c:pt idx="1">
                  <c:v>Minas Gerais</c:v>
                </c:pt>
                <c:pt idx="2">
                  <c:v>Rio de Janeiro</c:v>
                </c:pt>
              </c:strCache>
            </c:strRef>
          </c:cat>
          <c:val>
            <c:numRef>
              <c:f>Planilha1!$F$4:$F$7</c:f>
              <c:numCache>
                <c:formatCode>"R$"#,##0.00_);\("R$"#,##0.00\)</c:formatCode>
                <c:ptCount val="3"/>
                <c:pt idx="0">
                  <c:v>86085</c:v>
                </c:pt>
                <c:pt idx="1">
                  <c:v>82365</c:v>
                </c:pt>
                <c:pt idx="2">
                  <c:v>67860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98A-4A7F-9F41-D31CF3088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78"/>
        <c:axId val="18051951"/>
        <c:axId val="18054351"/>
      </c:barChart>
      <c:catAx>
        <c:axId val="1805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054351"/>
        <c:crosses val="autoZero"/>
        <c:auto val="1"/>
        <c:lblAlgn val="ctr"/>
        <c:lblOffset val="100"/>
        <c:noMultiLvlLbl val="0"/>
      </c:catAx>
      <c:valAx>
        <c:axId val="18054351"/>
        <c:scaling>
          <c:orientation val="minMax"/>
        </c:scaling>
        <c:delete val="1"/>
        <c:axPos val="l"/>
        <c:majorGridlines>
          <c:spPr>
            <a:ln w="12700" cap="rnd" cmpd="sng" algn="ctr">
              <a:solidFill>
                <a:schemeClr val="accent1">
                  <a:alpha val="40000"/>
                </a:schemeClr>
              </a:solidFill>
              <a:round/>
              <a:headEnd type="stealth" w="lg" len="sm"/>
              <a:tailEnd type="none"/>
            </a:ln>
            <a:effectLst>
              <a:softEdge rad="0"/>
            </a:effectLst>
          </c:spPr>
        </c:majorGridlines>
        <c:numFmt formatCode="&quot;R$&quot;#,##0.00_);\(&quot;R$&quot;#,##0.00\)" sourceLinked="1"/>
        <c:majorTickMark val="none"/>
        <c:minorTickMark val="none"/>
        <c:tickLblPos val="nextTo"/>
        <c:crossAx val="18051951"/>
        <c:crosses val="autoZero"/>
        <c:crossBetween val="between"/>
      </c:valAx>
      <c:spPr>
        <a:noFill/>
        <a:ln>
          <a:noFill/>
        </a:ln>
        <a:effectLst>
          <a:outerShdw blurRad="50800" dist="63500" dir="5400000" algn="ctr" rotWithShape="0">
            <a:srgbClr val="000000">
              <a:alpha val="82000"/>
            </a:srgbClr>
          </a:outerShdw>
        </a:effectLst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1</xdr:row>
      <xdr:rowOff>9526</xdr:rowOff>
    </xdr:from>
    <xdr:to>
      <xdr:col>3</xdr:col>
      <xdr:colOff>193703</xdr:colOff>
      <xdr:row>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3F533D-8477-B8CF-8656-3CC3D921E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200026"/>
          <a:ext cx="1774852" cy="771524"/>
        </a:xfrm>
        <a:prstGeom prst="rect">
          <a:avLst/>
        </a:prstGeom>
      </xdr:spPr>
    </xdr:pic>
    <xdr:clientData/>
  </xdr:twoCellAnchor>
  <xdr:twoCellAnchor>
    <xdr:from>
      <xdr:col>3</xdr:col>
      <xdr:colOff>523876</xdr:colOff>
      <xdr:row>0</xdr:row>
      <xdr:rowOff>9525</xdr:rowOff>
    </xdr:from>
    <xdr:to>
      <xdr:col>12</xdr:col>
      <xdr:colOff>571500</xdr:colOff>
      <xdr:row>5</xdr:row>
      <xdr:rowOff>85724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7C7DC8C5-E94B-170E-F954-450A684F185A}"/>
            </a:ext>
          </a:extLst>
        </xdr:cNvPr>
        <xdr:cNvGrpSpPr/>
      </xdr:nvGrpSpPr>
      <xdr:grpSpPr>
        <a:xfrm>
          <a:off x="2352676" y="9525"/>
          <a:ext cx="5534024" cy="1028699"/>
          <a:chOff x="2438401" y="1"/>
          <a:chExt cx="3562350" cy="1028699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3EC6B29F-5095-8F06-A8A9-307A841446F3}"/>
              </a:ext>
            </a:extLst>
          </xdr:cNvPr>
          <xdr:cNvSpPr/>
        </xdr:nvSpPr>
        <xdr:spPr>
          <a:xfrm>
            <a:off x="2438401" y="200025"/>
            <a:ext cx="3562350" cy="828675"/>
          </a:xfrm>
          <a:prstGeom prst="roundRect">
            <a:avLst/>
          </a:prstGeom>
          <a:solidFill>
            <a:srgbClr val="060720"/>
          </a:solidFill>
          <a:ln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 xmlns:tsle="http://schemas.microsoft.com/office/drawing/2012/timeslicer">
        <mc:Choice Requires="tsle">
          <xdr:graphicFrame macro="">
            <xdr:nvGraphicFramePr>
              <xdr:cNvPr id="4" name="Data da venda 1">
                <a:extLst>
                  <a:ext uri="{FF2B5EF4-FFF2-40B4-BE49-F238E27FC236}">
                    <a16:creationId xmlns:a16="http://schemas.microsoft.com/office/drawing/2014/main" id="{25E7DA81-4792-4F71-8EC0-656775836A73}"/>
                  </a:ext>
                </a:extLst>
              </xdr:cNvPr>
              <xdr:cNvGraphicFramePr/>
            </xdr:nvGraphicFramePr>
            <xdr:xfrm>
              <a:off x="2695576" y="47625"/>
              <a:ext cx="3238499" cy="971550"/>
            </xdr:xfrm>
            <a:graphic>
              <a:graphicData uri="http://schemas.microsoft.com/office/drawing/2012/timeslicer">
                <tsle:timeslicer name="Data da venda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752191" y="57149"/>
                <a:ext cx="5030929" cy="97155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Linha do tempo: Funciona em Excel 2013 ou superior. Não mover ou redimensionar.</a:t>
                </a:r>
              </a:p>
            </xdr:txBody>
          </xdr:sp>
        </mc:Fallback>
      </mc:AlternateContent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61677553-E458-F14F-5F6D-6A08D480F75B}"/>
              </a:ext>
            </a:extLst>
          </xdr:cNvPr>
          <xdr:cNvSpPr txBox="1"/>
        </xdr:nvSpPr>
        <xdr:spPr>
          <a:xfrm rot="16200000">
            <a:off x="2271717" y="252413"/>
            <a:ext cx="857250" cy="3524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1200" b="1">
                <a:solidFill>
                  <a:schemeClr val="bg1"/>
                </a:solidFill>
                <a:latin typeface="Average Sans"/>
              </a:rPr>
              <a:t>MÊS</a:t>
            </a:r>
          </a:p>
          <a:p>
            <a:endParaRPr lang="pt-BR" sz="1200"/>
          </a:p>
        </xdr:txBody>
      </xdr:sp>
    </xdr:grpSp>
    <xdr:clientData/>
  </xdr:twoCellAnchor>
  <xdr:twoCellAnchor>
    <xdr:from>
      <xdr:col>14</xdr:col>
      <xdr:colOff>142875</xdr:colOff>
      <xdr:row>0</xdr:row>
      <xdr:rowOff>104774</xdr:rowOff>
    </xdr:from>
    <xdr:to>
      <xdr:col>19</xdr:col>
      <xdr:colOff>285749</xdr:colOff>
      <xdr:row>5</xdr:row>
      <xdr:rowOff>95249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6E9950A1-0478-DF5B-DFCE-EE5F501D0ABD}"/>
            </a:ext>
          </a:extLst>
        </xdr:cNvPr>
        <xdr:cNvGrpSpPr/>
      </xdr:nvGrpSpPr>
      <xdr:grpSpPr>
        <a:xfrm>
          <a:off x="8677275" y="104774"/>
          <a:ext cx="3190874" cy="942975"/>
          <a:chOff x="6200776" y="133349"/>
          <a:chExt cx="2733673" cy="942975"/>
        </a:xfrm>
      </xdr:grpSpPr>
      <xdr:grpSp>
        <xdr:nvGrpSpPr>
          <xdr:cNvPr id="10" name="Agrupar 9">
            <a:extLst>
              <a:ext uri="{FF2B5EF4-FFF2-40B4-BE49-F238E27FC236}">
                <a16:creationId xmlns:a16="http://schemas.microsoft.com/office/drawing/2014/main" id="{7AA22020-9EB1-4DFC-0D99-6ED5D1B1E970}"/>
              </a:ext>
            </a:extLst>
          </xdr:cNvPr>
          <xdr:cNvGrpSpPr/>
        </xdr:nvGrpSpPr>
        <xdr:grpSpPr>
          <a:xfrm>
            <a:off x="6200776" y="133349"/>
            <a:ext cx="2733673" cy="942975"/>
            <a:chOff x="2438402" y="1"/>
            <a:chExt cx="2291407" cy="1085850"/>
          </a:xfrm>
        </xdr:grpSpPr>
        <xdr:sp macro="" textlink="">
          <xdr:nvSpPr>
            <xdr:cNvPr id="11" name="Retângulo: Cantos Arredondados 10">
              <a:extLst>
                <a:ext uri="{FF2B5EF4-FFF2-40B4-BE49-F238E27FC236}">
                  <a16:creationId xmlns:a16="http://schemas.microsoft.com/office/drawing/2014/main" id="{5806CDF2-DD5D-2708-6676-2AE39A1D9CFE}"/>
                </a:ext>
              </a:extLst>
            </xdr:cNvPr>
            <xdr:cNvSpPr/>
          </xdr:nvSpPr>
          <xdr:spPr>
            <a:xfrm>
              <a:off x="2438402" y="38101"/>
              <a:ext cx="2291407" cy="1047750"/>
            </a:xfrm>
            <a:prstGeom prst="roundRect">
              <a:avLst/>
            </a:prstGeom>
            <a:solidFill>
              <a:srgbClr val="060720"/>
            </a:solidFill>
            <a:ln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C8F79ABA-0D64-7AA0-E327-7C6875C770E0}"/>
                </a:ext>
              </a:extLst>
            </xdr:cNvPr>
            <xdr:cNvSpPr txBox="1"/>
          </xdr:nvSpPr>
          <xdr:spPr>
            <a:xfrm rot="16200000">
              <a:off x="2271717" y="252413"/>
              <a:ext cx="857250" cy="3524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pt-BR" sz="1200" b="1">
                  <a:solidFill>
                    <a:schemeClr val="bg1"/>
                  </a:solidFill>
                  <a:latin typeface="Average Sans"/>
                </a:rPr>
                <a:t>ITEM</a:t>
              </a:r>
            </a:p>
            <a:p>
              <a:endParaRPr lang="pt-BR" sz="1200"/>
            </a:p>
          </xdr:txBody>
        </xdr:sp>
      </xdr:grpSp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Nome da categoria">
                <a:extLst>
                  <a:ext uri="{FF2B5EF4-FFF2-40B4-BE49-F238E27FC236}">
                    <a16:creationId xmlns:a16="http://schemas.microsoft.com/office/drawing/2014/main" id="{A1CB2909-CBC6-4705-8934-9C9084113871}"/>
                  </a:ext>
                </a:extLst>
              </xdr:cNvPr>
              <xdr:cNvGraphicFramePr/>
            </xdr:nvGraphicFramePr>
            <xdr:xfrm>
              <a:off x="6600824" y="276226"/>
              <a:ext cx="2219325" cy="695324"/>
            </xdr:xfrm>
            <a:graphic>
              <a:graphicData uri="http://schemas.microsoft.com/office/drawing/2010/slicer">
                <sle:slicer xmlns:sle="http://schemas.microsoft.com/office/drawing/2010/slicer" name="Nome da categori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9144230" y="247651"/>
                <a:ext cx="2590502" cy="69532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19051</xdr:colOff>
      <xdr:row>6</xdr:row>
      <xdr:rowOff>114301</xdr:rowOff>
    </xdr:from>
    <xdr:to>
      <xdr:col>8</xdr:col>
      <xdr:colOff>2251</xdr:colOff>
      <xdr:row>29</xdr:row>
      <xdr:rowOff>52801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33E742-C0AF-4CEE-A871-D43662AE5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16800</xdr:colOff>
      <xdr:row>6</xdr:row>
      <xdr:rowOff>66675</xdr:rowOff>
    </xdr:from>
    <xdr:to>
      <xdr:col>21</xdr:col>
      <xdr:colOff>0</xdr:colOff>
      <xdr:row>29</xdr:row>
      <xdr:rowOff>5175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38A1BA1-63C5-448E-9362-557B42292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428625</xdr:colOff>
      <xdr:row>7</xdr:row>
      <xdr:rowOff>142875</xdr:rowOff>
    </xdr:from>
    <xdr:to>
      <xdr:col>12</xdr:col>
      <xdr:colOff>19050</xdr:colOff>
      <xdr:row>13</xdr:row>
      <xdr:rowOff>28575</xdr:rowOff>
    </xdr:to>
    <xdr:sp macro="" textlink="Total_Vendas">
      <xdr:nvSpPr>
        <xdr:cNvPr id="12" name="Retângulo: Cantos Arredondados 11">
          <a:extLst>
            <a:ext uri="{FF2B5EF4-FFF2-40B4-BE49-F238E27FC236}">
              <a16:creationId xmlns:a16="http://schemas.microsoft.com/office/drawing/2014/main" id="{1FCFFB1C-6662-1DDA-BB2F-EBA6F3B82D15}"/>
            </a:ext>
          </a:extLst>
        </xdr:cNvPr>
        <xdr:cNvSpPr/>
      </xdr:nvSpPr>
      <xdr:spPr>
        <a:xfrm>
          <a:off x="5305425" y="1476375"/>
          <a:ext cx="2028825" cy="1028700"/>
        </a:xfrm>
        <a:prstGeom prst="roundRect">
          <a:avLst/>
        </a:prstGeom>
        <a:solidFill>
          <a:srgbClr val="060720"/>
        </a:solidFill>
        <a:ln>
          <a:solidFill>
            <a:srgbClr val="1994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43E6B058-886E-496A-9B47-858202CC3FE4}" type="TxLink">
            <a:rPr lang="en-US" sz="2000" b="0" i="0" u="none" strike="noStrike">
              <a:solidFill>
                <a:srgbClr val="00B0F0"/>
              </a:solidFill>
              <a:latin typeface="Calibri"/>
              <a:cs typeface="Calibri"/>
            </a:rPr>
            <a:pPr algn="l"/>
            <a:t>R$ 236.310,00</a:t>
          </a:fld>
          <a:endParaRPr lang="pt-BR" sz="2000">
            <a:solidFill>
              <a:srgbClr val="00B0F0"/>
            </a:solidFill>
          </a:endParaRPr>
        </a:p>
      </xdr:txBody>
    </xdr:sp>
    <xdr:clientData/>
  </xdr:twoCellAnchor>
  <xdr:twoCellAnchor>
    <xdr:from>
      <xdr:col>8</xdr:col>
      <xdr:colOff>466725</xdr:colOff>
      <xdr:row>14</xdr:row>
      <xdr:rowOff>114300</xdr:rowOff>
    </xdr:from>
    <xdr:to>
      <xdr:col>12</xdr:col>
      <xdr:colOff>57150</xdr:colOff>
      <xdr:row>20</xdr:row>
      <xdr:rowOff>0</xdr:rowOff>
    </xdr:to>
    <xdr:sp macro="" textlink="Total_desc">
      <xdr:nvSpPr>
        <xdr:cNvPr id="14" name="Retângulo: Cantos Arredondados 13">
          <a:extLst>
            <a:ext uri="{FF2B5EF4-FFF2-40B4-BE49-F238E27FC236}">
              <a16:creationId xmlns:a16="http://schemas.microsoft.com/office/drawing/2014/main" id="{EF01B95C-F6FE-6F59-5B00-5D57679C0F04}"/>
            </a:ext>
          </a:extLst>
        </xdr:cNvPr>
        <xdr:cNvSpPr/>
      </xdr:nvSpPr>
      <xdr:spPr>
        <a:xfrm>
          <a:off x="5343525" y="2781300"/>
          <a:ext cx="2028825" cy="1028700"/>
        </a:xfrm>
        <a:prstGeom prst="roundRect">
          <a:avLst/>
        </a:prstGeom>
        <a:solidFill>
          <a:srgbClr val="060720"/>
        </a:solidFill>
        <a:ln>
          <a:solidFill>
            <a:srgbClr val="1994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EA524CD7-27DE-4985-A8B9-B6E8D4547E44}" type="TxLink">
            <a:rPr lang="en-US" sz="2000" b="0" i="0" u="none" strike="noStrike">
              <a:solidFill>
                <a:srgbClr val="00B0F0"/>
              </a:solidFill>
              <a:latin typeface="Calibri"/>
              <a:cs typeface="Calibri"/>
            </a:rPr>
            <a:pPr algn="l"/>
            <a:t>R$ 5.960,10</a:t>
          </a:fld>
          <a:endParaRPr lang="pt-BR" sz="2000">
            <a:solidFill>
              <a:srgbClr val="00B0F0"/>
            </a:solidFill>
          </a:endParaRPr>
        </a:p>
      </xdr:txBody>
    </xdr:sp>
    <xdr:clientData/>
  </xdr:twoCellAnchor>
  <xdr:twoCellAnchor>
    <xdr:from>
      <xdr:col>8</xdr:col>
      <xdr:colOff>476250</xdr:colOff>
      <xdr:row>21</xdr:row>
      <xdr:rowOff>104775</xdr:rowOff>
    </xdr:from>
    <xdr:to>
      <xdr:col>12</xdr:col>
      <xdr:colOff>66675</xdr:colOff>
      <xdr:row>26</xdr:row>
      <xdr:rowOff>180975</xdr:rowOff>
    </xdr:to>
    <xdr:sp macro="" textlink="Total_liq">
      <xdr:nvSpPr>
        <xdr:cNvPr id="16" name="Retângulo: Cantos Arredondados 15">
          <a:extLst>
            <a:ext uri="{FF2B5EF4-FFF2-40B4-BE49-F238E27FC236}">
              <a16:creationId xmlns:a16="http://schemas.microsoft.com/office/drawing/2014/main" id="{2F2F4090-AB41-758D-21CD-170DE83B6632}"/>
            </a:ext>
          </a:extLst>
        </xdr:cNvPr>
        <xdr:cNvSpPr/>
      </xdr:nvSpPr>
      <xdr:spPr>
        <a:xfrm>
          <a:off x="5353050" y="4105275"/>
          <a:ext cx="2028825" cy="1028700"/>
        </a:xfrm>
        <a:prstGeom prst="roundRect">
          <a:avLst/>
        </a:prstGeom>
        <a:solidFill>
          <a:srgbClr val="060720"/>
        </a:solidFill>
        <a:ln>
          <a:solidFill>
            <a:srgbClr val="19949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fld id="{6A59D798-FB2C-4D31-A882-2C68852D85F7}" type="TxLink">
            <a:rPr lang="en-US" sz="2000" b="0" i="0" u="none" strike="noStrike">
              <a:solidFill>
                <a:srgbClr val="00B0F0"/>
              </a:solidFill>
              <a:latin typeface="Calibri"/>
              <a:cs typeface="Calibri"/>
            </a:rPr>
            <a:pPr algn="l"/>
            <a:t>R$ 230.349,90</a:t>
          </a:fld>
          <a:endParaRPr lang="pt-BR" sz="2000">
            <a:solidFill>
              <a:srgbClr val="00B0F0"/>
            </a:solidFill>
          </a:endParaRPr>
        </a:p>
      </xdr:txBody>
    </xdr:sp>
    <xdr:clientData/>
  </xdr:twoCellAnchor>
  <xdr:twoCellAnchor>
    <xdr:from>
      <xdr:col>8</xdr:col>
      <xdr:colOff>485775</xdr:colOff>
      <xdr:row>8</xdr:row>
      <xdr:rowOff>133349</xdr:rowOff>
    </xdr:from>
    <xdr:to>
      <xdr:col>11</xdr:col>
      <xdr:colOff>314325</xdr:colOff>
      <xdr:row>10</xdr:row>
      <xdr:rowOff>104775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836277B-D07B-2420-D939-96563CA11201}"/>
            </a:ext>
          </a:extLst>
        </xdr:cNvPr>
        <xdr:cNvSpPr txBox="1"/>
      </xdr:nvSpPr>
      <xdr:spPr>
        <a:xfrm>
          <a:off x="5362575" y="1657349"/>
          <a:ext cx="1657350" cy="3524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1"/>
              </a:solidFill>
              <a:latin typeface="+mn-lt"/>
            </a:rPr>
            <a:t>Total</a:t>
          </a:r>
          <a:r>
            <a:rPr lang="pt-BR" sz="1200" baseline="0">
              <a:solidFill>
                <a:schemeClr val="bg1"/>
              </a:solidFill>
              <a:latin typeface="+mn-lt"/>
            </a:rPr>
            <a:t> Vendido</a:t>
          </a:r>
        </a:p>
        <a:p>
          <a:endParaRPr lang="pt-BR" sz="1600" baseline="0"/>
        </a:p>
        <a:p>
          <a:endParaRPr lang="pt-BR" sz="1600"/>
        </a:p>
      </xdr:txBody>
    </xdr:sp>
    <xdr:clientData/>
  </xdr:twoCellAnchor>
  <xdr:twoCellAnchor>
    <xdr:from>
      <xdr:col>8</xdr:col>
      <xdr:colOff>523875</xdr:colOff>
      <xdr:row>15</xdr:row>
      <xdr:rowOff>76200</xdr:rowOff>
    </xdr:from>
    <xdr:to>
      <xdr:col>10</xdr:col>
      <xdr:colOff>466725</xdr:colOff>
      <xdr:row>16</xdr:row>
      <xdr:rowOff>152400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8686A7BF-0499-F761-C1AD-E0B4B6583A39}"/>
            </a:ext>
          </a:extLst>
        </xdr:cNvPr>
        <xdr:cNvSpPr txBox="1"/>
      </xdr:nvSpPr>
      <xdr:spPr>
        <a:xfrm>
          <a:off x="5400675" y="2933700"/>
          <a:ext cx="116205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t-BR" sz="1200">
              <a:solidFill>
                <a:schemeClr val="bg1"/>
              </a:solidFill>
            </a:rPr>
            <a:t>Total Desconto</a:t>
          </a:r>
        </a:p>
      </xdr:txBody>
    </xdr:sp>
    <xdr:clientData/>
  </xdr:twoCellAnchor>
  <xdr:twoCellAnchor>
    <xdr:from>
      <xdr:col>8</xdr:col>
      <xdr:colOff>523875</xdr:colOff>
      <xdr:row>22</xdr:row>
      <xdr:rowOff>104775</xdr:rowOff>
    </xdr:from>
    <xdr:to>
      <xdr:col>10</xdr:col>
      <xdr:colOff>485775</xdr:colOff>
      <xdr:row>23</xdr:row>
      <xdr:rowOff>152400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22CCEBC8-004E-C760-76A0-55807BAFE08D}"/>
            </a:ext>
          </a:extLst>
        </xdr:cNvPr>
        <xdr:cNvSpPr txBox="1"/>
      </xdr:nvSpPr>
      <xdr:spPr>
        <a:xfrm>
          <a:off x="5400675" y="4295775"/>
          <a:ext cx="11811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solidFill>
                <a:schemeClr val="bg1"/>
              </a:solidFill>
            </a:rPr>
            <a:t>Total Liquido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8.034983217593" createdVersion="5" refreshedVersion="8" minRefreshableVersion="3" recordCount="0" supportSubquery="1" supportAdvancedDrill="1" xr:uid="{BB818DA0-7FCC-4EED-8188-8536D64D3295}">
  <cacheSource type="external" connectionId="7"/>
  <cacheFields count="4">
    <cacheField name="[Measures].[Total vendido]" caption="Total vendido" numFmtId="0" hierarchy="24" level="32767"/>
    <cacheField name="[Vendas].[Data da venda].[Data da venda]" caption="Data da venda" numFmtId="0" hierarchy="15" level="1">
      <sharedItems containsSemiMixedTypes="0" containsNonDate="0" containsDate="1" containsString="0" minDate="2020-08-01T00:00:00" maxDate="2020-09-01T00:00:00" count="31"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</sharedItems>
    </cacheField>
    <cacheField name="[Vendas].[Data da venda (Mês)].[Data da venda (Mês)]" caption="Data da venda (Mês)" numFmtId="0" hierarchy="17" level="1">
      <sharedItems count="1">
        <s v="jan"/>
      </sharedItems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2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3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2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2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2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2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2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2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2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2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2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2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2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2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1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2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2" memberValueDatatype="130" unbalanced="0">
      <fieldsUsage count="2">
        <fieldUsage x="-1"/>
        <fieldUsage x="2"/>
      </fieldsUsage>
    </cacheHierarchy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2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2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2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2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2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2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8.034983680554" createdVersion="5" refreshedVersion="8" minRefreshableVersion="3" recordCount="0" supportSubquery="1" supportAdvancedDrill="1" xr:uid="{D8790E2D-AF02-4C04-85BC-5246DD8C25F1}">
  <cacheSource type="external" connectionId="7"/>
  <cacheFields count="4">
    <cacheField name="[Measures].[Total vendido]" caption="Total vendido" numFmtId="0" hierarchy="24" level="32767"/>
    <cacheField name="[Vendedores].[Nome do vendedor].[Nome do vendedor]" caption="Nome do vendedor" numFmtId="0" hierarchy="19" level="1">
      <sharedItems count="10">
        <s v="Almira Buarque"/>
        <s v="Antônio da Costa"/>
        <s v="Augusto Carlos"/>
        <s v="Débora Albuquerque"/>
        <s v="Fernanda Vasconcelos"/>
        <s v="Filipe de Tarso"/>
        <s v="Jaqueline de Souza"/>
        <s v="Raimundo Nonato"/>
        <s v="Rubens Lopes"/>
        <s v="Solange Almeida"/>
      </sharedItems>
    </cacheField>
    <cacheField name="[Vendas].[Data da venda].[Data da venda]" caption="Data da venda" numFmtId="0" hierarchy="15" level="1">
      <sharedItems containsSemiMixedTypes="0" containsNonDate="0" containsString="0"/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2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3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2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2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2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2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2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2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2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2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2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2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2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2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2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2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2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2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2" memberValueDatatype="130" unbalanced="0">
      <fieldsUsage count="2">
        <fieldUsage x="-1"/>
        <fieldUsage x="1"/>
      </fieldsUsage>
    </cacheHierarchy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2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2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2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2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8.034984027778" createdVersion="5" refreshedVersion="8" minRefreshableVersion="3" recordCount="0" supportSubquery="1" supportAdvancedDrill="1" xr:uid="{88B36AC5-C15B-4C1A-9918-6440ED7852C1}">
  <cacheSource type="external" connectionId="7"/>
  <cacheFields count="4">
    <cacheField name="[Measures].[Total vendido]" caption="Total vendido" numFmtId="0" hierarchy="24" level="32767"/>
    <cacheField name="[Filiais].[Nome da filial].[Nome da filial]" caption="Nome da filial" numFmtId="0" hierarchy="3" level="1">
      <sharedItems count="3">
        <s v="Minas Gerais"/>
        <s v="Rio de Janeiro"/>
        <s v="São Paulo"/>
      </sharedItems>
    </cacheField>
    <cacheField name="[Vendas].[Data da venda].[Data da venda]" caption="Data da venda" numFmtId="0" hierarchy="15" level="1">
      <sharedItems containsSemiMixedTypes="0" containsNonDate="0" containsString="0"/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3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>
      <fieldsUsage count="2">
        <fieldUsage x="-1"/>
        <fieldUsage x="1"/>
      </fieldsUsage>
    </cacheHierarchy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2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8.034984375001" createdVersion="5" refreshedVersion="8" minRefreshableVersion="3" recordCount="0" supportSubquery="1" supportAdvancedDrill="1" xr:uid="{B4734CA8-E615-4BB3-A508-E10F62BC7CD1}">
  <cacheSource type="external" connectionId="7"/>
  <cacheFields count="3">
    <cacheField name="[Measures].[Total vendido]" caption="Total vendido" numFmtId="0" hierarchy="24" level="32767"/>
    <cacheField name="[Categorias].[Nome da categoria].[Nome da categoria]" caption="Nome da categoria" numFmtId="0" hierarchy="1" level="1">
      <sharedItems count="1">
        <s v="Acessórios"/>
      </sharedItems>
    </cacheField>
    <cacheField name="[Vendas].[Data da venda].[Data da venda]" caption="Data da venda" numFmtId="0" hierarchy="15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2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1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2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2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2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2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2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2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2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2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2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2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2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2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2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2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2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2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2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2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2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2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2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8.034984606478" createdVersion="5" refreshedVersion="8" minRefreshableVersion="3" recordCount="0" supportSubquery="1" supportAdvancedDrill="1" xr:uid="{10187583-ED70-4E8A-A377-82254B93DD4A}">
  <cacheSource type="external" connectionId="7"/>
  <cacheFields count="3">
    <cacheField name="[Measures].[Total vendido]" caption="Total vendido" numFmtId="0" hierarchy="24" level="32767"/>
    <cacheField name="[Vendas].[Data da venda].[Data da venda]" caption="Data da venda" numFmtId="0" hierarchy="15" level="1">
      <sharedItems containsSemiMixedTypes="0" containsNonDate="0" containsString="0"/>
    </cacheField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2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1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 oneField="1">
      <fieldsUsage count="1">
        <fieldUsage x="0"/>
      </fieldsUsage>
    </cacheHierarchy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8.034984722224" createdVersion="5" refreshedVersion="8" minRefreshableVersion="3" recordCount="0" supportSubquery="1" supportAdvancedDrill="1" xr:uid="{6FD17145-D2FA-4E88-BAC1-29119D91DE14}">
  <cacheSource type="external" connectionId="7"/>
  <cacheFields count="3">
    <cacheField name="[Vendas].[Data da venda].[Data da venda]" caption="Data da venda" numFmtId="0" hierarchy="15" level="1">
      <sharedItems containsSemiMixedTypes="0" containsNonDate="0" containsString="0"/>
    </cacheField>
    <cacheField name="[Measures].[Total desconto]" caption="Total desconto" numFmtId="0" hierarchy="25" level="32767"/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2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0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 oneField="1">
      <fieldsUsage count="1">
        <fieldUsage x="1"/>
      </fieldsUsage>
    </cacheHierarchy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8.034984953701" createdVersion="5" refreshedVersion="8" minRefreshableVersion="3" recordCount="0" supportSubquery="1" supportAdvancedDrill="1" xr:uid="{84F5BC14-3439-45F4-810B-B2D2F0B872E9}">
  <cacheSource type="external" connectionId="7"/>
  <cacheFields count="3">
    <cacheField name="[Vendas].[Data da venda].[Data da venda]" caption="Data da venda" numFmtId="0" hierarchy="15" level="1">
      <sharedItems containsSemiMixedTypes="0" containsNonDate="0" containsString="0"/>
    </cacheField>
    <cacheField name="[Measures].[Total líquido]" caption="Total líquido" numFmtId="0" hierarchy="26" level="32767"/>
    <cacheField name="[Categorias].[Nome da categoria].[Nome da categoria]" caption="Nome da categoria" numFmtId="0" hierarchy="1" level="1">
      <sharedItems containsSemiMixedTypes="0" containsNonDate="0" containsString="0"/>
    </cacheField>
  </cacheFields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>
      <fieldsUsage count="2">
        <fieldUsage x="-1"/>
        <fieldUsage x="2"/>
      </fieldsUsage>
    </cacheHierarchy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2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>
      <fieldsUsage count="2">
        <fieldUsage x="-1"/>
        <fieldUsage x="0"/>
      </fieldsUsage>
    </cacheHierarchy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 oneField="1">
      <fieldsUsage count="1">
        <fieldUsage x="1"/>
      </fieldsUsage>
    </cacheHierarchy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dimensions count="7">
    <dimension name="Categorias" uniqueName="[Categorias]" caption="Categorias"/>
    <dimension name="Filiais" uniqueName="[Filiais]" caption="Filiais"/>
    <dimension name="Ítens vendidos" uniqueName="[Ítens vendidos]" caption="Ítens vendidos"/>
    <dimension measure="1" name="Measures" uniqueName="[Measures]" caption="Measures"/>
    <dimension name="Produtos" uniqueName="[Produtos]" caption="Produtos"/>
    <dimension name="Vendas" uniqueName="[Vendas]" caption="Vendas"/>
    <dimension name="Vendedores" uniqueName="[Vendedores]" caption="Vendedores"/>
  </dimensions>
  <measureGroups count="6">
    <measureGroup name="Categorias" caption="Categorias"/>
    <measureGroup name="Filiais" caption="Filiais"/>
    <measureGroup name="Ítens vendidos" caption="Ítens vendidos"/>
    <measureGroup name="Produtos" caption="Produtos"/>
    <measureGroup name="Vendas" caption="Vendas"/>
    <measureGroup name="Vendedores" caption="Vendedores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5"/>
    <map measureGroup="2" dimension="6"/>
    <map measureGroup="3" dimension="0"/>
    <map measureGroup="3" dimension="4"/>
    <map measureGroup="4" dimension="1"/>
    <map measureGroup="4" dimension="5"/>
    <map measureGroup="4" dimension="6"/>
    <map measureGroup="5" dimension="1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abri" refreshedDate="45847.815288541664" createdVersion="3" refreshedVersion="8" minRefreshableVersion="3" recordCount="0" supportSubquery="1" supportAdvancedDrill="1" xr:uid="{02A1195F-CAB2-496B-BA52-C00A2709C6D4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2" memberValueDatatype="130" unbalanced="0"/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0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0" memberValueDatatype="7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883317592"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o Fróes" refreshedDate="44644.632505787034" createdVersion="3" refreshedVersion="7" minRefreshableVersion="3" recordCount="0" supportSubquery="1" supportAdvancedDrill="1" xr:uid="{CD4C10B6-A6C7-4039-8795-F92FAEBA4847}">
  <cacheSource type="external" connectionId="7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Categorias].[Código da categoria]" caption="Código da categoria" attribute="1" defaultMemberUniqueName="[Categorias].[Código da categoria].[All]" allUniqueName="[Categorias].[Código da categoria].[All]" dimensionUniqueName="[Categorias]" displayFolder="" count="0" memberValueDatatype="20" unbalanced="0"/>
    <cacheHierarchy uniqueName="[Categorias].[Nome da categoria]" caption="Nome da categoria" attribute="1" defaultMemberUniqueName="[Categorias].[Nome da categoria].[All]" allUniqueName="[Categorias].[Nome da categoria].[All]" dimensionUniqueName="[Categorias]" displayFolder="" count="0" memberValueDatatype="130" unbalanced="0"/>
    <cacheHierarchy uniqueName="[Filiais].[Código da filial]" caption="Código da filial" attribute="1" defaultMemberUniqueName="[Filiais].[Código da filial].[All]" allUniqueName="[Filiais].[Código da filial].[All]" dimensionUniqueName="[Filiais]" displayFolder="" count="0" memberValueDatatype="20" unbalanced="0"/>
    <cacheHierarchy uniqueName="[Filiais].[Nome da filial]" caption="Nome da filial" attribute="1" defaultMemberUniqueName="[Filiais].[Nome da filial].[All]" allUniqueName="[Filiais].[Nome da filial].[All]" dimensionUniqueName="[Filiais]" displayFolder="" count="0" memberValueDatatype="130" unbalanced="0"/>
    <cacheHierarchy uniqueName="[Ítens vendidos].[Código do ítem]" caption="Código do ítem" attribute="1" defaultMemberUniqueName="[Ítens vendidos].[Código do ítem].[All]" allUniqueName="[Ítens vendidos].[Código do ítem].[All]" dimensionUniqueName="[Ítens vendidos]" displayFolder="" count="0" memberValueDatatype="20" unbalanced="0"/>
    <cacheHierarchy uniqueName="[Ítens vendidos].[Venda]" caption="Venda" attribute="1" defaultMemberUniqueName="[Ítens vendidos].[Venda].[All]" allUniqueName="[Ítens vendidos].[Venda].[All]" dimensionUniqueName="[Ítens vendidos]" displayFolder="" count="0" memberValueDatatype="20" unbalanced="0"/>
    <cacheHierarchy uniqueName="[Ítens vendidos].[Produto]" caption="Produto" attribute="1" defaultMemberUniqueName="[Ítens vendidos].[Produto].[All]" allUniqueName="[Ítens vendidos].[Produto].[All]" dimensionUniqueName="[Ítens vendidos]" displayFolder="" count="0" memberValueDatatype="20" unbalanced="0"/>
    <cacheHierarchy uniqueName="[Ítens vendidos].[Quantidade]" caption="Quantidade" attribute="1" defaultMemberUniqueName="[Ítens vendidos].[Quantidade].[All]" allUniqueName="[Ítens vendidos].[Quantidade].[All]" dimensionUniqueName="[Ítens vendidos]" displayFolder="" count="0" memberValueDatatype="20" unbalanced="0"/>
    <cacheHierarchy uniqueName="[Ítens vendidos].[Desconto total]" caption="Desconto total" attribute="1" defaultMemberUniqueName="[Ítens vendidos].[Desconto total].[All]" allUniqueName="[Ítens vendidos].[Desconto total].[All]" dimensionUniqueName="[Ítens vendidos]" displayFolder="" count="0" memberValueDatatype="5" unbalanced="0"/>
    <cacheHierarchy uniqueName="[Ítens vendidos].[Valor unitário]" caption="Valor unitário" attribute="1" defaultMemberUniqueName="[Ítens vendidos].[Valor unitário].[All]" allUniqueName="[Ítens vendidos].[Valor unitário].[All]" dimensionUniqueName="[Ítens vendidos]" displayFolder="" count="0" memberValueDatatype="20" unbalanced="0"/>
    <cacheHierarchy uniqueName="[Produtos].[Código do produto]" caption="Código do produto" attribute="1" defaultMemberUniqueName="[Produtos].[Código do produto].[All]" allUniqueName="[Produtos].[Código do produto].[All]" dimensionUniqueName="[Produtos]" displayFolder="" count="0" memberValueDatatype="20" unbalanced="0"/>
    <cacheHierarchy uniqueName="[Produtos].[Nome do produto]" caption="Nome do produto" attribute="1" defaultMemberUniqueName="[Produtos].[Nome do produto].[All]" allUniqueName="[Produtos].[Nome do produto].[All]" dimensionUniqueName="[Produtos]" displayFolder="" count="0" memberValueDatatype="130" unbalanced="0"/>
    <cacheHierarchy uniqueName="[Produtos].[Valor unitário]" caption="Valor unitário" attribute="1" defaultMemberUniqueName="[Produtos].[Valor unitário].[All]" allUniqueName="[Produtos].[Valor unitário].[All]" dimensionUniqueName="[Produtos]" displayFolder="" count="0" memberValueDatatype="20" unbalanced="0"/>
    <cacheHierarchy uniqueName="[Produtos].[Categoria]" caption="Categoria" attribute="1" defaultMemberUniqueName="[Produtos].[Categoria].[All]" allUniqueName="[Produtos].[Categoria].[All]" dimensionUniqueName="[Produtos]" displayFolder="" count="0" memberValueDatatype="20" unbalanced="0"/>
    <cacheHierarchy uniqueName="[Vendas].[Código da venda]" caption="Código da venda" attribute="1" defaultMemberUniqueName="[Vendas].[Código da venda].[All]" allUniqueName="[Vendas].[Código da venda].[All]" dimensionUniqueName="[Vendas]" displayFolder="" count="0" memberValueDatatype="20" unbalanced="0"/>
    <cacheHierarchy uniqueName="[Vendas].[Data da venda]" caption="Data da venda" attribute="1" time="1" defaultMemberUniqueName="[Vendas].[Data da venda].[All]" allUniqueName="[Vendas].[Data da venda].[All]" dimensionUniqueName="[Vendas]" displayFolder="" count="2" memberValueDatatype="7" unbalanced="0"/>
    <cacheHierarchy uniqueName="[Vendas].[Vendedor]" caption="Vendedor" attribute="1" defaultMemberUniqueName="[Vendas].[Vendedor].[All]" allUniqueName="[Vendas].[Vendedor].[All]" dimensionUniqueName="[Vendas]" displayFolder="" count="0" memberValueDatatype="20" unbalanced="0"/>
    <cacheHierarchy uniqueName="[Vendas].[Data da venda (Mês)]" caption="Data da venda (Mês)" attribute="1" defaultMemberUniqueName="[Vendas].[Data da venda (Mês)].[All]" allUniqueName="[Vendas].[Data da venda (Mês)].[All]" dimensionUniqueName="[Vendas]" displayFolder="" count="0" memberValueDatatype="130" unbalanced="0"/>
    <cacheHierarchy uniqueName="[Vendedores].[Código do vendedor]" caption="Código do vendedor" attribute="1" defaultMemberUniqueName="[Vendedores].[Código do vendedor].[All]" allUniqueName="[Vendedores].[Código do vendedor].[All]" dimensionUniqueName="[Vendedores]" displayFolder="" count="0" memberValueDatatype="20" unbalanced="0"/>
    <cacheHierarchy uniqueName="[Vendedores].[Nome do vendedor]" caption="Nome do vendedor" attribute="1" defaultMemberUniqueName="[Vendedores].[Nome do vendedor].[All]" allUniqueName="[Vendedores].[Nome do vendedor].[All]" dimensionUniqueName="[Vendedores]" displayFolder="" count="0" memberValueDatatype="130" unbalanced="0"/>
    <cacheHierarchy uniqueName="[Vendedores].[Custo fixo mensal]" caption="Custo fixo mensal" attribute="1" defaultMemberUniqueName="[Vendedores].[Custo fixo mensal].[All]" allUniqueName="[Vendedores].[Custo fixo mensal].[All]" dimensionUniqueName="[Vendedores]" displayFolder="" count="0" memberValueDatatype="20" unbalanced="0"/>
    <cacheHierarchy uniqueName="[Vendedores].[Comissão]" caption="Comissão" attribute="1" defaultMemberUniqueName="[Vendedores].[Comissão].[All]" allUniqueName="[Vendedores].[Comissão].[All]" dimensionUniqueName="[Vendedores]" displayFolder="" count="0" memberValueDatatype="5" unbalanced="0"/>
    <cacheHierarchy uniqueName="[Vendedores].[Filial]" caption="Filial" attribute="1" defaultMemberUniqueName="[Vendedores].[Filial].[All]" allUniqueName="[Vendedores].[Filial].[All]" dimensionUniqueName="[Vendedores]" displayFolder="" count="0" memberValueDatatype="20" unbalanced="0"/>
    <cacheHierarchy uniqueName="[Vendas].[Data da venda (Índice de Mês)]" caption="Data da venda (Índice de Mês)" attribute="1" defaultMemberUniqueName="[Vendas].[Data da venda (Índice de Mês)].[All]" allUniqueName="[Vendas].[Data da venda (Índice de Mês)].[All]" dimensionUniqueName="[Vendas]" displayFolder="" count="0" memberValueDatatype="20" unbalanced="0" hidden="1"/>
    <cacheHierarchy uniqueName="[Measures].[Total vendido]" caption="Total vendido" measure="1" displayFolder="" measureGroup="Ítens vendidos" count="0"/>
    <cacheHierarchy uniqueName="[Measures].[Total desconto]" caption="Total desconto" measure="1" displayFolder="" measureGroup="Ítens vendidos" count="0"/>
    <cacheHierarchy uniqueName="[Measures].[Total líquido]" caption="Total líquido" measure="1" displayFolder="" measureGroup="Ítens vendidos" count="0"/>
    <cacheHierarchy uniqueName="[Measures].[__XL_Count Filiais]" caption="__XL_Count Filiais" measure="1" displayFolder="" measureGroup="Filiais" count="0" hidden="1"/>
    <cacheHierarchy uniqueName="[Measures].[__XL_Count Categorias]" caption="__XL_Count Categorias" measure="1" displayFolder="" measureGroup="Categorias" count="0" hidden="1"/>
    <cacheHierarchy uniqueName="[Measures].[__XL_Count Ítens vendidos]" caption="__XL_Count Ítens vendidos" measure="1" displayFolder="" measureGroup="Ítens vendidos" count="0" hidden="1"/>
    <cacheHierarchy uniqueName="[Measures].[__XL_Count Produtos]" caption="__XL_Count Produtos" measure="1" displayFolder="" measureGroup="Produtos" count="0" hidden="1"/>
    <cacheHierarchy uniqueName="[Measures].[__XL_Count Vendas]" caption="__XL_Count Vendas" measure="1" displayFolder="" measureGroup="Vendas" count="0" hidden="1"/>
    <cacheHierarchy uniqueName="[Measures].[__XL_Count Vendedores]" caption="__XL_Count Vendedores" measure="1" displayFolder="" measureGroup="Vendedores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882710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C8596-2993-48C6-92C3-2C565D038B5E}" name="Tabela dinâmica4" cacheId="578" applyNumberFormats="0" applyBorderFormats="0" applyFontFormats="0" applyPatternFormats="0" applyAlignmentFormats="0" applyWidthHeightFormats="1" dataCaption="Valores" tag="191af971-65f7-43b1-8e24-1d70ea812034" updatedVersion="8" minRefreshableVersion="5" useAutoFormatting="1" subtotalHiddenItems="1" itemPrintTitles="1" createdVersion="5" indent="0" outline="1" outlineData="1" multipleFieldFilters="0">
  <location ref="K3:L5" firstHeaderRow="1" firstDataRow="1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axis="axisRow" allDrilled="1" subtotalTop="0" showAll="0" dataSourceSort="1" defaultSubtotal="0">
      <items count="1">
        <item x="0" e="0"/>
      </items>
    </pivotField>
    <pivotField allDrilled="1" subtotalTop="0" showAll="0" dataSourceSort="1" defaultSubtotal="0" defaultAttributeDrillState="1"/>
  </pivotFields>
  <rowFields count="2">
    <field x="2"/>
    <field x="1"/>
  </rowFields>
  <rowItems count="2">
    <i>
      <x/>
    </i>
    <i t="grand">
      <x/>
    </i>
  </rowItems>
  <colItems count="1">
    <i/>
  </colItems>
  <dataFields count="1">
    <dataField fld="0" subtotal="count" baseField="0" baseItem="0"/>
  </dataField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dateBetween" evalOrder="-1" id="141" name="[Vendas].[Data da venda]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2">
    <rowHierarchyUsage hierarchyUsage="17"/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Categorias]"/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37EC2-2AE8-4F40-9CE4-02FB5B06DBFF}" name="Tabela dinâmica5" cacheId="590" applyNumberFormats="0" applyBorderFormats="0" applyFontFormats="0" applyPatternFormats="0" applyAlignmentFormats="0" applyWidthHeightFormats="1" dataCaption="Valores" tag="59cee696-6700-4b8e-914e-ab4ac3e8443f" updatedVersion="8" minRefreshableVersion="5" useAutoFormatting="1" subtotalHiddenItems="1" itemPrintTitles="1" createdVersion="5" indent="0" outline="1" outlineData="1" multipleFieldFilters="0" chartFormat="3">
  <location ref="N3:N4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dateBetween" evalOrder="-1" id="141" name="[Vendas].[Data da venda]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A76C5-5BDB-406C-8122-7411FBDA0F60}" name="Tabela dinâmica2" cacheId="584" applyNumberFormats="0" applyBorderFormats="0" applyFontFormats="0" applyPatternFormats="0" applyAlignmentFormats="0" applyWidthHeightFormats="1" dataCaption="Valores" tag="59cee696-6700-4b8e-914e-ab4ac3e8443f" updatedVersion="8" minRefreshableVersion="5" useAutoFormatting="1" subtotalHiddenItems="1" itemPrintTitles="1" createdVersion="5" indent="0" outline="1" outlineData="1" multipleFieldFilters="0" chartFormat="11">
  <location ref="E3:F7" firstHeaderRow="1" firstDataRow="1" firstDataCol="1"/>
  <pivotFields count="4">
    <pivotField dataField="1" subtotalTop="0" showAll="0" defaultSubtotal="0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1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41" name="[Vendas].[Data da venda]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8C138-37E1-4B40-8C11-5511EED89339}" name="Tabela dinâmica1" cacheId="581" applyNumberFormats="0" applyBorderFormats="0" applyFontFormats="0" applyPatternFormats="0" applyAlignmentFormats="0" applyWidthHeightFormats="1" dataCaption="Valores" tag="0eb2bbde-351c-4267-8306-2fa6543acaff" updatedVersion="8" minRefreshableVersion="5" useAutoFormatting="1" subtotalHiddenItems="1" itemPrintTitles="1" createdVersion="5" indent="0" outline="1" outlineData="1" multipleFieldFilters="0" chartFormat="21">
  <location ref="B3:C14" firstHeaderRow="1" firstDataRow="1" firstDataCol="1"/>
  <pivotFields count="4">
    <pivotField dataField="1" subtotalTop="0" showAll="0" defaultSubtotal="0"/>
    <pivotField axis="axisRow"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11">
    <i>
      <x v="6"/>
    </i>
    <i>
      <x v="9"/>
    </i>
    <i>
      <x v="8"/>
    </i>
    <i>
      <x v="5"/>
    </i>
    <i>
      <x v="4"/>
    </i>
    <i>
      <x v="1"/>
    </i>
    <i>
      <x v="2"/>
    </i>
    <i>
      <x v="7"/>
    </i>
    <i>
      <x v="3"/>
    </i>
    <i>
      <x/>
    </i>
    <i t="grand">
      <x/>
    </i>
  </rowItems>
  <colItems count="1">
    <i/>
  </colItems>
  <dataFields count="1">
    <dataField fld="0" subtotal="count" baseField="0" baseItem="0"/>
  </dataFields>
  <chartFormats count="2"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41" name="[Vendas].[Data da venda]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A66A4-E30F-42BC-AD30-BB6EED66438D}" name="Tabela dinâmica7" cacheId="596" applyNumberFormats="0" applyBorderFormats="0" applyFontFormats="0" applyPatternFormats="0" applyAlignmentFormats="0" applyWidthHeightFormats="1" dataCaption="Valores" tag="59cee696-6700-4b8e-914e-ab4ac3e8443f" updatedVersion="8" minRefreshableVersion="5" useAutoFormatting="1" subtotalHiddenItems="1" itemPrintTitles="1" createdVersion="5" indent="0" outline="1" outlineData="1" multipleFieldFilters="0" chartFormat="3">
  <location ref="R3:R4" firstHeaderRow="1" firstDataRow="1" firstDataCol="0"/>
  <pivotFields count="3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141" name="[Vendas].[Data da venda]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CB161-0977-4D4F-A710-42986561CDE6}" name="Tabela dinâmica3" cacheId="587" applyNumberFormats="0" applyBorderFormats="0" applyFontFormats="0" applyPatternFormats="0" applyAlignmentFormats="0" applyWidthHeightFormats="1" dataCaption="Valores" tag="a252ff29-83e2-480c-b49d-4b59e207432a" updatedVersion="8" minRefreshableVersion="5" useAutoFormatting="1" subtotalHiddenItems="1" itemPrintTitles="1" createdVersion="5" indent="0" outline="1" outlineData="1" multipleFieldFilters="0">
  <location ref="H3:I5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">
        <item s="1" x="0"/>
      </items>
    </pivotField>
    <pivotField allDrilled="1" subtotalTop="0" showAll="0" dataSourceSort="1" defaultSubtotal="0" defaultAttributeDrillState="1"/>
  </pivotFields>
  <rowFields count="1">
    <field x="1"/>
  </rowFields>
  <rowItems count="2">
    <i>
      <x/>
    </i>
    <i t="grand">
      <x/>
    </i>
  </rowItems>
  <colItems count="1">
    <i/>
  </colItems>
  <dataFields count="1">
    <dataField fld="0" subtotal="count" baseField="0" baseItem="0"/>
  </dataFields>
  <pivotHierarchies count="3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dateBetween" evalOrder="-1" id="141" name="[Vendas].[Data da venda]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C3A31-706A-4D7F-8A09-AA5355D0D6D4}" name="Tabela dinâmica6" cacheId="593" applyNumberFormats="0" applyBorderFormats="0" applyFontFormats="0" applyPatternFormats="0" applyAlignmentFormats="0" applyWidthHeightFormats="1" dataCaption="Valores" tag="59cee696-6700-4b8e-914e-ab4ac3e8443f" updatedVersion="8" minRefreshableVersion="5" useAutoFormatting="1" subtotalHiddenItems="1" itemPrintTitles="1" createdVersion="5" indent="0" outline="1" outlineData="1" multipleFieldFilters="0" chartFormat="3">
  <location ref="P3:P4" firstHeaderRow="1" firstDataRow="1" firstDataCol="0"/>
  <pivotFields count="3">
    <pivotField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1" subtotal="count" baseField="0" baseItem="0"/>
  </dataFields>
  <pivotHierarchies count="34">
    <pivotHierarchy dragToData="1"/>
    <pivotHierarchy multipleItemSelectionAllowed="1" dragToData="1">
      <members count="1" level="1">
        <member name="[Categorias].[Nome da categoria].&amp;[Acessóri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dateBetween" evalOrder="-1" id="141" name="[Vendas].[Data da venda]">
      <autoFilter ref="A1">
        <filterColumn colId="0">
          <customFilters and="1">
            <customFilter operator="greaterThanOrEqual" val="43831"/>
            <customFilter operator="lessThanOrEqual" val="4386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Ítens vendidos]"/>
        <x15:activeTabTopLevelEntity name="[Vendedores]"/>
        <x15:activeTabTopLevelEntity name="[Filiais]"/>
        <x15:activeTabTopLevelEntity name="[Vendas]"/>
        <x15:activeTabTopLevelEntity name="[Categori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ome_da_categoria" xr10:uid="{6E249053-9E5A-456F-886B-5DC1F5F9873F}" sourceName="[Categorias].[Nome da categoria]">
  <pivotTables>
    <pivotTable tabId="1" name="Tabela dinâmica3"/>
    <pivotTable tabId="1" name="Tabela dinâmica1"/>
    <pivotTable tabId="1" name="Tabela dinâmica2"/>
    <pivotTable tabId="1" name="Tabela dinâmica4"/>
    <pivotTable tabId="1" name="Tabela dinâmica5"/>
    <pivotTable tabId="1" name="Tabela dinâmica6"/>
    <pivotTable tabId="1" name="Tabela dinâmica7"/>
  </pivotTables>
  <data>
    <olap pivotCacheId="1883317592">
      <levels count="2">
        <level uniqueName="[Categorias].[Nome da categoria].[(All)]" sourceCaption="(All)" count="0"/>
        <level uniqueName="[Categorias].[Nome da categoria].[Nome da categoria]" sourceCaption="Nome da categoria" count="4">
          <ranges>
            <range startItem="0">
              <i n="[Categorias].[Nome da categoria].&amp;[Acessórios]" c="Acessórios"/>
              <i n="[Categorias].[Nome da categoria].&amp;[Celulares]" c="Celulares"/>
              <i n="[Categorias].[Nome da categoria].&amp;[Hardwares]" c="Hardwares"/>
              <i n="[Categorias].[Nome da categoria].&amp;[Papelaria]" c="Papelaria"/>
            </range>
          </ranges>
        </level>
      </levels>
      <selections count="1">
        <selection n="[Categorias].[Nome da categoria].&amp;[Acessórios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tegorias].[Nome da categoria].[Nome da categoria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e da categoria" xr10:uid="{9D817140-EEC2-48F4-BCFB-3F1A9830DFAE}" cache="SegmentaçãodeDados_Nome_da_categoria" caption="Nome da categoria" columnCount="2" showCaption="0" level="1" style="NOVO ESTILO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Data_da_venda" xr10:uid="{B408B889-76FA-4AB4-A4F0-7D18041D34FB}" sourceName="[Vendas].[Data da venda]">
  <pivotTables>
    <pivotTable tabId="1" name="Tabela dinâmica4"/>
    <pivotTable tabId="1" name="Tabela dinâmica1"/>
    <pivotTable tabId="1" name="Tabela dinâmica2"/>
    <pivotTable tabId="1" name="Tabela dinâmica3"/>
    <pivotTable tabId="1" name="Tabela dinâmica5"/>
    <pivotTable tabId="1" name="Tabela dinâmica6"/>
    <pivotTable tabId="1" name="Tabela dinâmica7"/>
  </pivotTables>
  <state minimalRefreshVersion="6" lastRefreshVersion="6" pivotCacheId="8827106" filterType="dateBetween">
    <selection startDate="2020-01-01T00:00:00" endDate="2020-01-31T00:00:00"/>
    <bounds startDate="2020-01-01T00:00:00" endDate="2021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da venda 1" xr10:uid="{A2DCE086-84F2-4674-867C-57EA4E6F0015}" cache="Timeline_Data_da_venda" caption="Data da venda" showHeader="0" showSelectionLabel="0" showTimeLevel="0" showHorizontalScrollbar="0" level="2" selectionLevel="2" scrollPosition="2020-01-01T00:00:00" style="Estilo de Linha do Tempo 1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5BC8-E92C-414B-8E11-1A9B0759F655}">
  <dimension ref="B3:R14"/>
  <sheetViews>
    <sheetView workbookViewId="0">
      <selection activeCell="N8" sqref="N8"/>
    </sheetView>
  </sheetViews>
  <sheetFormatPr defaultRowHeight="15" x14ac:dyDescent="0.25"/>
  <cols>
    <col min="2" max="2" width="20.85546875" bestFit="1" customWidth="1"/>
    <col min="3" max="3" width="13.28515625" bestFit="1" customWidth="1"/>
    <col min="5" max="5" width="18" bestFit="1" customWidth="1"/>
    <col min="6" max="6" width="13.28515625" bestFit="1" customWidth="1"/>
    <col min="8" max="8" width="18" bestFit="1" customWidth="1"/>
    <col min="9" max="9" width="13.28515625" bestFit="1" customWidth="1"/>
    <col min="11" max="11" width="18" bestFit="1" customWidth="1"/>
    <col min="12" max="12" width="13.28515625" bestFit="1" customWidth="1"/>
    <col min="14" max="14" width="13.28515625" bestFit="1" customWidth="1"/>
    <col min="16" max="16" width="14.140625" bestFit="1" customWidth="1"/>
    <col min="18" max="18" width="12.7109375" bestFit="1" customWidth="1"/>
  </cols>
  <sheetData>
    <row r="3" spans="2:18" x14ac:dyDescent="0.25">
      <c r="B3" s="1" t="s">
        <v>1</v>
      </c>
      <c r="C3" t="s">
        <v>0</v>
      </c>
      <c r="E3" s="1" t="s">
        <v>1</v>
      </c>
      <c r="F3" t="s">
        <v>0</v>
      </c>
      <c r="H3" s="1" t="s">
        <v>1</v>
      </c>
      <c r="I3" t="s">
        <v>0</v>
      </c>
      <c r="K3" s="1" t="s">
        <v>1</v>
      </c>
      <c r="L3" t="s">
        <v>0</v>
      </c>
      <c r="N3" t="s">
        <v>0</v>
      </c>
      <c r="P3" t="s">
        <v>17</v>
      </c>
      <c r="R3" t="s">
        <v>18</v>
      </c>
    </row>
    <row r="4" spans="2:18" x14ac:dyDescent="0.25">
      <c r="B4" s="2" t="s">
        <v>8</v>
      </c>
      <c r="C4" s="7">
        <v>8865</v>
      </c>
      <c r="E4" s="2" t="s">
        <v>15</v>
      </c>
      <c r="F4" s="7">
        <v>86085</v>
      </c>
      <c r="H4" s="2" t="s">
        <v>16</v>
      </c>
      <c r="I4" s="7">
        <v>236310</v>
      </c>
      <c r="K4" s="2" t="s">
        <v>20</v>
      </c>
      <c r="L4" s="7">
        <v>236310</v>
      </c>
      <c r="N4" s="7">
        <v>236310</v>
      </c>
      <c r="P4" s="7">
        <v>5960.1</v>
      </c>
      <c r="R4" s="7">
        <v>230349.9</v>
      </c>
    </row>
    <row r="5" spans="2:18" x14ac:dyDescent="0.25">
      <c r="B5" s="2" t="s">
        <v>11</v>
      </c>
      <c r="C5" s="7">
        <v>11145</v>
      </c>
      <c r="E5" s="2" t="s">
        <v>13</v>
      </c>
      <c r="F5" s="7">
        <v>82365</v>
      </c>
      <c r="H5" s="2" t="s">
        <v>12</v>
      </c>
      <c r="I5" s="7">
        <v>236310</v>
      </c>
      <c r="K5" s="2" t="s">
        <v>12</v>
      </c>
      <c r="L5" s="7">
        <v>236310</v>
      </c>
    </row>
    <row r="6" spans="2:18" x14ac:dyDescent="0.25">
      <c r="B6" s="2" t="s">
        <v>10</v>
      </c>
      <c r="C6" s="7">
        <v>19455</v>
      </c>
      <c r="E6" s="2" t="s">
        <v>14</v>
      </c>
      <c r="F6" s="7">
        <v>67860</v>
      </c>
    </row>
    <row r="7" spans="2:18" x14ac:dyDescent="0.25">
      <c r="B7" s="2" t="s">
        <v>7</v>
      </c>
      <c r="C7" s="7">
        <v>22410</v>
      </c>
      <c r="E7" s="2" t="s">
        <v>12</v>
      </c>
      <c r="F7" s="7">
        <v>236310</v>
      </c>
    </row>
    <row r="8" spans="2:18" x14ac:dyDescent="0.25">
      <c r="B8" s="2" t="s">
        <v>6</v>
      </c>
      <c r="C8" s="7">
        <v>24600</v>
      </c>
    </row>
    <row r="9" spans="2:18" x14ac:dyDescent="0.25">
      <c r="B9" s="2" t="s">
        <v>3</v>
      </c>
      <c r="C9" s="7">
        <v>27555</v>
      </c>
    </row>
    <row r="10" spans="2:18" x14ac:dyDescent="0.25">
      <c r="B10" s="2" t="s">
        <v>4</v>
      </c>
      <c r="C10" s="7">
        <v>28290</v>
      </c>
    </row>
    <row r="11" spans="2:18" x14ac:dyDescent="0.25">
      <c r="B11" s="2" t="s">
        <v>9</v>
      </c>
      <c r="C11" s="7">
        <v>29445</v>
      </c>
    </row>
    <row r="12" spans="2:18" x14ac:dyDescent="0.25">
      <c r="B12" s="2" t="s">
        <v>5</v>
      </c>
      <c r="C12" s="7">
        <v>30240</v>
      </c>
    </row>
    <row r="13" spans="2:18" x14ac:dyDescent="0.25">
      <c r="B13" s="2" t="s">
        <v>2</v>
      </c>
      <c r="C13" s="7">
        <v>34305</v>
      </c>
    </row>
    <row r="14" spans="2:18" x14ac:dyDescent="0.25">
      <c r="B14" s="2" t="s">
        <v>12</v>
      </c>
      <c r="C14" s="7">
        <v>236310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E0B3-C082-452B-BCDE-2EEB8B8FDE90}">
  <dimension ref="A1:U34"/>
  <sheetViews>
    <sheetView showGridLines="0" showRowColHeaders="0" tabSelected="1" zoomScaleNormal="100" workbookViewId="0">
      <selection activeCell="M33" sqref="M33"/>
    </sheetView>
  </sheetViews>
  <sheetFormatPr defaultColWidth="0" defaultRowHeight="15" zeroHeight="1" x14ac:dyDescent="0.25"/>
  <cols>
    <col min="1" max="21" width="9.140625" style="3" customWidth="1"/>
    <col min="22" max="16384" width="9.140625" hidden="1"/>
  </cols>
  <sheetData>
    <row r="1" spans="1:21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spans="1:21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1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spans="1:21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spans="1:2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spans="1:2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spans="1:2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spans="1:21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spans="1:21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spans="1:2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spans="1:2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spans="1:2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spans="1:2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spans="1:2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spans="1:2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spans="1:2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</sheetData>
  <sheetProtection sheet="1" selectLockedCells="1" autoFilter="0" selectUnlockedCells="1"/>
  <mergeCells count="2">
    <mergeCell ref="A1:U6"/>
    <mergeCell ref="A7:U30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127C57A4-09A4-442B-B79F-9B8B22DAF64F}">
  <ds:schemaRefs/>
</ds:datastoreItem>
</file>

<file path=customXml/itemProps2.xml><?xml version="1.0" encoding="utf-8"?>
<ds:datastoreItem xmlns:ds="http://schemas.openxmlformats.org/officeDocument/2006/customXml" ds:itemID="{90854BE0-796C-4323-9F5A-5950F7CA3235}">
  <ds:schemaRefs/>
</ds:datastoreItem>
</file>

<file path=customXml/itemProps3.xml><?xml version="1.0" encoding="utf-8"?>
<ds:datastoreItem xmlns:ds="http://schemas.openxmlformats.org/officeDocument/2006/customXml" ds:itemID="{DA4FB959-26D1-4116-B9F1-C51EF0CAD47A}">
  <ds:schemaRefs/>
</ds:datastoreItem>
</file>

<file path=customXml/itemProps4.xml><?xml version="1.0" encoding="utf-8"?>
<ds:datastoreItem xmlns:ds="http://schemas.openxmlformats.org/officeDocument/2006/customXml" ds:itemID="{32DECC9D-B1E2-4FB1-9D4D-899C761F1E74}">
  <ds:schemaRefs/>
</ds:datastoreItem>
</file>

<file path=customXml/itemProps5.xml><?xml version="1.0" encoding="utf-8"?>
<ds:datastoreItem xmlns:ds="http://schemas.openxmlformats.org/officeDocument/2006/customXml" ds:itemID="{818D4BB8-44B5-4258-9BCF-BED95E403D3E}">
  <ds:schemaRefs/>
</ds:datastoreItem>
</file>

<file path=customXml/itemProps6.xml><?xml version="1.0" encoding="utf-8"?>
<ds:datastoreItem xmlns:ds="http://schemas.openxmlformats.org/officeDocument/2006/customXml" ds:itemID="{4E0AC9F4-FC09-4662-8DF8-9CB51AD45107}">
  <ds:schemaRefs/>
</ds:datastoreItem>
</file>

<file path=customXml/itemProps7.xml><?xml version="1.0" encoding="utf-8"?>
<ds:datastoreItem xmlns:ds="http://schemas.openxmlformats.org/officeDocument/2006/customXml" ds:itemID="{CD637C40-E978-49B6-8199-69D360287E90}">
  <ds:schemaRefs/>
</ds:datastoreItem>
</file>

<file path=customXml/itemProps8.xml><?xml version="1.0" encoding="utf-8"?>
<ds:datastoreItem xmlns:ds="http://schemas.openxmlformats.org/officeDocument/2006/customXml" ds:itemID="{CF323B53-1CF7-4859-A84C-EE8148EBE5B3}">
  <ds:schemaRefs/>
</ds:datastoreItem>
</file>

<file path=customXml/itemProps9.xml><?xml version="1.0" encoding="utf-8"?>
<ds:datastoreItem xmlns:ds="http://schemas.openxmlformats.org/officeDocument/2006/customXml" ds:itemID="{A161099A-831C-4E66-A1C5-0089163A4F15}">
  <ds:schemaRefs/>
</ds:datastoreItem>
</file>

<file path=customXml/itemProps10.xml><?xml version="1.0" encoding="utf-8"?>
<ds:datastoreItem xmlns:ds="http://schemas.openxmlformats.org/officeDocument/2006/customXml" ds:itemID="{3D30329B-487E-4BD9-831A-1702AE548B1E}">
  <ds:schemaRefs/>
</ds:datastoreItem>
</file>

<file path=customXml/itemProps11.xml><?xml version="1.0" encoding="utf-8"?>
<ds:datastoreItem xmlns:ds="http://schemas.openxmlformats.org/officeDocument/2006/customXml" ds:itemID="{025C4B2F-EF40-4559-BAD1-A4BAB8389A36}">
  <ds:schemaRefs/>
</ds:datastoreItem>
</file>

<file path=customXml/itemProps12.xml><?xml version="1.0" encoding="utf-8"?>
<ds:datastoreItem xmlns:ds="http://schemas.openxmlformats.org/officeDocument/2006/customXml" ds:itemID="{7586D575-7A3B-452A-93BC-81BE2C9DCC15}">
  <ds:schemaRefs/>
</ds:datastoreItem>
</file>

<file path=customXml/itemProps13.xml><?xml version="1.0" encoding="utf-8"?>
<ds:datastoreItem xmlns:ds="http://schemas.openxmlformats.org/officeDocument/2006/customXml" ds:itemID="{FE1A36FA-6F1C-4C47-86D6-E065FA08EF82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A33C03FD-869A-40EE-B37D-38E2366FB37F}">
  <ds:schemaRefs/>
</ds:datastoreItem>
</file>

<file path=customXml/itemProps15.xml><?xml version="1.0" encoding="utf-8"?>
<ds:datastoreItem xmlns:ds="http://schemas.openxmlformats.org/officeDocument/2006/customXml" ds:itemID="{9092EDEA-90FD-4517-9C50-3D96E6C88594}">
  <ds:schemaRefs/>
</ds:datastoreItem>
</file>

<file path=customXml/itemProps16.xml><?xml version="1.0" encoding="utf-8"?>
<ds:datastoreItem xmlns:ds="http://schemas.openxmlformats.org/officeDocument/2006/customXml" ds:itemID="{CD9B2A93-81E1-44EB-9148-48581A98E5C6}">
  <ds:schemaRefs/>
</ds:datastoreItem>
</file>

<file path=customXml/itemProps17.xml><?xml version="1.0" encoding="utf-8"?>
<ds:datastoreItem xmlns:ds="http://schemas.openxmlformats.org/officeDocument/2006/customXml" ds:itemID="{5061E700-5EB4-4DE9-BEDC-480B0A7FF739}">
  <ds:schemaRefs/>
</ds:datastoreItem>
</file>

<file path=customXml/itemProps18.xml><?xml version="1.0" encoding="utf-8"?>
<ds:datastoreItem xmlns:ds="http://schemas.openxmlformats.org/officeDocument/2006/customXml" ds:itemID="{B36FF226-49A4-469D-BCD0-8A825F7F9322}">
  <ds:schemaRefs/>
</ds:datastoreItem>
</file>

<file path=customXml/itemProps19.xml><?xml version="1.0" encoding="utf-8"?>
<ds:datastoreItem xmlns:ds="http://schemas.openxmlformats.org/officeDocument/2006/customXml" ds:itemID="{47E9F3D6-B542-40B1-BE63-1E7CD6492453}">
  <ds:schemaRefs/>
</ds:datastoreItem>
</file>

<file path=customXml/itemProps20.xml><?xml version="1.0" encoding="utf-8"?>
<ds:datastoreItem xmlns:ds="http://schemas.openxmlformats.org/officeDocument/2006/customXml" ds:itemID="{4FF2F8B4-A3E2-4027-9F01-EC4F118DC35B}">
  <ds:schemaRefs/>
</ds:datastoreItem>
</file>

<file path=customXml/itemProps21.xml><?xml version="1.0" encoding="utf-8"?>
<ds:datastoreItem xmlns:ds="http://schemas.openxmlformats.org/officeDocument/2006/customXml" ds:itemID="{C3FBC664-359A-4B5E-92B9-42AAF7B3875A}">
  <ds:schemaRefs/>
</ds:datastoreItem>
</file>

<file path=customXml/itemProps22.xml><?xml version="1.0" encoding="utf-8"?>
<ds:datastoreItem xmlns:ds="http://schemas.openxmlformats.org/officeDocument/2006/customXml" ds:itemID="{8B0D8E34-F409-42F7-9361-D851F1C36813}">
  <ds:schemaRefs/>
</ds:datastoreItem>
</file>

<file path=customXml/itemProps23.xml><?xml version="1.0" encoding="utf-8"?>
<ds:datastoreItem xmlns:ds="http://schemas.openxmlformats.org/officeDocument/2006/customXml" ds:itemID="{7A2521B4-D57F-4CEF-9B24-8C6F705A9A04}">
  <ds:schemaRefs/>
</ds:datastoreItem>
</file>

<file path=customXml/itemProps24.xml><?xml version="1.0" encoding="utf-8"?>
<ds:datastoreItem xmlns:ds="http://schemas.openxmlformats.org/officeDocument/2006/customXml" ds:itemID="{63D8A88A-0484-4DF2-A501-822DC74EA5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DASHBOARD</vt:lpstr>
      <vt:lpstr>Total_desc</vt:lpstr>
      <vt:lpstr>Total_desconto</vt:lpstr>
      <vt:lpstr>Total_liq</vt:lpstr>
      <vt:lpstr>Total_líquido</vt:lpstr>
      <vt:lpstr>Total_Vendas</vt:lpstr>
      <vt:lpstr>Total_vendido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Fróes</dc:creator>
  <cp:lastModifiedBy>TIAGO DA SILVA CARVALHO</cp:lastModifiedBy>
  <dcterms:created xsi:type="dcterms:W3CDTF">2022-03-24T17:44:03Z</dcterms:created>
  <dcterms:modified xsi:type="dcterms:W3CDTF">2025-07-10T03:50:29Z</dcterms:modified>
</cp:coreProperties>
</file>